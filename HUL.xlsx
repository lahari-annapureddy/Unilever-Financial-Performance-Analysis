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f79b01e86234b37c/Documents/"/>
    </mc:Choice>
  </mc:AlternateContent>
  <xr:revisionPtr revIDLastSave="0" documentId="8_{E980955D-1384-4DC2-BA2B-4CE4B87F4056}" xr6:coauthVersionLast="47" xr6:coauthVersionMax="47" xr10:uidLastSave="{00000000-0000-0000-0000-000000000000}"/>
  <bookViews>
    <workbookView xWindow="-108" yWindow="-108" windowWidth="23256" windowHeight="12456" firstSheet="2" activeTab="3" xr2:uid="{596CD008-4C09-4A29-9360-5A75D68BE633}"/>
  </bookViews>
  <sheets>
    <sheet name="Raw Data" sheetId="1" r:id="rId1"/>
    <sheet name="Calculations" sheetId="2" r:id="rId2"/>
    <sheet name="Dashboard" sheetId="3" r:id="rId3"/>
    <sheet name="Insights" sheetId="4" r:id="rId4"/>
  </sheets>
  <definedNames>
    <definedName name="_xlchart.v2.0" hidden="1">Calculations!$A$5</definedName>
    <definedName name="_xlchart.v2.1" hidden="1">Calculations!$B$1:$E$1</definedName>
    <definedName name="_xlchart.v2.2" hidden="1">Calculations!$B$5:$E$5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B7" i="2"/>
  <c r="B2" i="2"/>
  <c r="C6" i="2"/>
  <c r="D6" i="2"/>
  <c r="E6" i="2"/>
  <c r="B6" i="2"/>
  <c r="C5" i="2"/>
  <c r="D5" i="2"/>
  <c r="E5" i="2"/>
  <c r="B5" i="2"/>
  <c r="C4" i="2"/>
  <c r="D4" i="2"/>
  <c r="E4" i="2"/>
  <c r="B4" i="2"/>
  <c r="C3" i="2"/>
  <c r="D3" i="2"/>
  <c r="E3" i="2"/>
  <c r="B3" i="2"/>
  <c r="C2" i="2"/>
  <c r="D2" i="2"/>
</calcChain>
</file>

<file path=xl/sharedStrings.xml><?xml version="1.0" encoding="utf-8"?>
<sst xmlns="http://schemas.openxmlformats.org/spreadsheetml/2006/main" count="51" uniqueCount="45">
  <si>
    <t>Particulars (amount in crs)</t>
  </si>
  <si>
    <t>FY(2025-26)</t>
  </si>
  <si>
    <t>FY(2024-25)</t>
  </si>
  <si>
    <t>FY(2023-24)</t>
  </si>
  <si>
    <t>FY(2022-23)</t>
  </si>
  <si>
    <t>Revenue from Operations</t>
  </si>
  <si>
    <t>Expenses</t>
  </si>
  <si>
    <t>Profit After Tax</t>
  </si>
  <si>
    <t>Total Assets</t>
  </si>
  <si>
    <t>Total Equity</t>
  </si>
  <si>
    <t>Total Borrowings</t>
  </si>
  <si>
    <t>Currenty Assets</t>
  </si>
  <si>
    <t>Current Liabilities</t>
  </si>
  <si>
    <t>Operating Cashflow</t>
  </si>
  <si>
    <t xml:space="preserve"> </t>
  </si>
  <si>
    <t>Particulars</t>
  </si>
  <si>
    <t>Revenue Growth</t>
  </si>
  <si>
    <t>N/A</t>
  </si>
  <si>
    <t>Net Profit Margin</t>
  </si>
  <si>
    <t>Return On Equity</t>
  </si>
  <si>
    <t>Debt to Equity Ratio</t>
  </si>
  <si>
    <t>Current Ratio</t>
  </si>
  <si>
    <t>Financial Area</t>
  </si>
  <si>
    <t>Observation</t>
  </si>
  <si>
    <t>Interpretation</t>
  </si>
  <si>
    <t>Recommendation</t>
  </si>
  <si>
    <t>Revenue grew by 5.12% in FY 2025–26.</t>
  </si>
  <si>
    <t>Revenue growth recovered after a slight decline.</t>
  </si>
  <si>
    <t>Monitor sales and pricing trends.</t>
  </si>
  <si>
    <t>Profitability</t>
  </si>
  <si>
    <t>Net profit margin increased to 23.36%.</t>
  </si>
  <si>
    <t>Reported profitability improved.</t>
  </si>
  <si>
    <t>Verify the impact of expenses and exceptional items.</t>
  </si>
  <si>
    <t>Liquidity</t>
  </si>
  <si>
    <t>Current ratio declined from 1.33 to 1.22.</t>
  </si>
  <si>
    <t>Short-term asset coverage decreased.</t>
  </si>
  <si>
    <t>Monitor working capital and current liabilities.</t>
  </si>
  <si>
    <t>Capital Structure</t>
  </si>
  <si>
    <t>Debt-to-equity ratio stood at 0.02.</t>
  </si>
  <si>
    <t>Borrowings are low relative to equity.</t>
  </si>
  <si>
    <t>Monitor borrowings and other financial commitments.</t>
  </si>
  <si>
    <t>Cash Flow</t>
  </si>
  <si>
    <t>Operating cash flow fell to ₹10,999 crore.</t>
  </si>
  <si>
    <t>Cash generation weakened despite revenue growth.</t>
  </si>
  <si>
    <t>Investigate working capital and operating cash 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</si>
</sst>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Calculations!$A$2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Calculations!$B$1:$D$1</c:f>
              <c:strCache>
                <c:ptCount val="3"/>
                <c:pt idx="0">
                  <c:v>FY(2025-26)</c:v>
                </c:pt>
                <c:pt idx="1">
                  <c:v>FY(2024-25)</c:v>
                </c:pt>
                <c:pt idx="2">
                  <c:v>FY(2023-24)</c:v>
                </c:pt>
              </c:strCache>
            </c:strRef>
          </c:cat>
          <c:val>
            <c:numRef>
              <c:f>Calculations!$B$2:$D$2</c:f>
              <c:numCache>
                <c:formatCode>0.00</c:formatCode>
                <c:ptCount val="3"/>
                <c:pt idx="0">
                  <c:v>5.1200104356900606</c:v>
                </c:pt>
                <c:pt idx="1">
                  <c:v>-0.91766834690448496</c:v>
                </c:pt>
                <c:pt idx="2">
                  <c:v>2.1723341036645758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B-40F5-9C62-D747221ACE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106039167"/>
        <c:axId val="729330479"/>
      </c:lineChart>
      <c:catAx>
        <c:axId val="1106039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330479"/>
        <c:crosses val="autoZero"/>
        <c:auto val="1"/>
        <c:lblAlgn val="ctr"/>
        <c:lblOffset val="100"/>
        <c:noMultiLvlLbl val="0"/>
      </c:catAx>
      <c:valAx>
        <c:axId val="7293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3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Calculations!$A$3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Calculations!$B$1:$E$1</c:f>
              <c:strCache>
                <c:ptCount val="4"/>
                <c:pt idx="0">
                  <c:v>FY(2025-26)</c:v>
                </c:pt>
                <c:pt idx="1">
                  <c:v>FY(2024-25)</c:v>
                </c:pt>
                <c:pt idx="2">
                  <c:v>FY(2023-24)</c:v>
                </c:pt>
                <c:pt idx="3">
                  <c:v>FY(2022-23)</c:v>
                </c:pt>
              </c:strCache>
            </c:strRef>
          </c:cat>
          <c:val>
            <c:numRef>
              <c:f>Calculations!$B$3:$E$3</c:f>
              <c:numCache>
                <c:formatCode>0.00</c:formatCode>
                <c:ptCount val="4"/>
                <c:pt idx="0">
                  <c:v>23.358875721288079</c:v>
                </c:pt>
                <c:pt idx="1">
                  <c:v>17.399882598486823</c:v>
                </c:pt>
                <c:pt idx="2">
                  <c:v>16.611735814915342</c:v>
                </c:pt>
                <c:pt idx="3">
                  <c:v>16.743149554308353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3-480E-A3A3-EF7F0B8627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4203119"/>
        <c:axId val="729317519"/>
      </c:lineChart>
      <c:catAx>
        <c:axId val="12842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317519"/>
        <c:crosses val="autoZero"/>
        <c:auto val="1"/>
        <c:lblAlgn val="ctr"/>
        <c:lblOffset val="100"/>
        <c:noMultiLvlLbl val="0"/>
      </c:catAx>
      <c:valAx>
        <c:axId val="7293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0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Calculations!$A$6</c:f>
              <c:strCache>
                <c:ptCount val="1"/>
                <c:pt idx="0">
                  <c:v>Current Ratio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69-4FFC-80F3-0D1E685624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69-4FFC-80F3-0D1E685624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69-4FFC-80F3-0D1E685624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69-4FFC-80F3-0D1E685624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Calculations!$B$1:$E$1</c:f>
              <c:strCache>
                <c:ptCount val="4"/>
                <c:pt idx="0">
                  <c:v>FY(2025-26)</c:v>
                </c:pt>
                <c:pt idx="1">
                  <c:v>FY(2024-25)</c:v>
                </c:pt>
                <c:pt idx="2">
                  <c:v>FY(2023-24)</c:v>
                </c:pt>
                <c:pt idx="3">
                  <c:v>FY(2022-23)</c:v>
                </c:pt>
              </c:strCache>
            </c:strRef>
          </c:cat>
          <c:val>
            <c:numRef>
              <c:f>Calculations!$B$6:$E$6</c:f>
              <c:numCache>
                <c:formatCode>0.00</c:formatCode>
                <c:ptCount val="4"/>
                <c:pt idx="0">
                  <c:v>1.2232941025146311</c:v>
                </c:pt>
                <c:pt idx="1">
                  <c:v>1.3334341174336337</c:v>
                </c:pt>
                <c:pt idx="2">
                  <c:v>1.6561043802423112</c:v>
                </c:pt>
                <c:pt idx="3">
                  <c:v>1.4132025274359827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69-4FFC-80F3-0D1E685624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Calculations!$A$4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Calculations!$B$1:$E$1</c:f>
              <c:strCache>
                <c:ptCount val="4"/>
                <c:pt idx="0">
                  <c:v>FY(2025-26)</c:v>
                </c:pt>
                <c:pt idx="1">
                  <c:v>FY(2024-25)</c:v>
                </c:pt>
                <c:pt idx="2">
                  <c:v>FY(2023-24)</c:v>
                </c:pt>
                <c:pt idx="3">
                  <c:v>FY(2022-23)</c:v>
                </c:pt>
              </c:strCache>
            </c:strRef>
          </c:cat>
          <c:val>
            <c:numRef>
              <c:f>Calculations!$B$4:$E$4</c:f>
              <c:numCache>
                <c:formatCode>0.00</c:formatCode>
                <c:ptCount val="4"/>
                <c:pt idx="0">
                  <c:v>30.727636304276849</c:v>
                </c:pt>
                <c:pt idx="1">
                  <c:v>21.510209840956279</c:v>
                </c:pt>
                <c:pt idx="2">
                  <c:v>19.994943896699922</c:v>
                </c:pt>
                <c:pt idx="3">
                  <c:v>20.076402359368196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3-4644-B791-95DD97AB72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8310991"/>
        <c:axId val="1419326735"/>
      </c:barChart>
      <c:catAx>
        <c:axId val="144831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26735"/>
        <c:crosses val="autoZero"/>
        <c:auto val="1"/>
        <c:lblAlgn val="ctr"/>
        <c:lblOffset val="100"/>
        <c:noMultiLvlLbl val="0"/>
      </c:catAx>
      <c:valAx>
        <c:axId val="141932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1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</cx:f>
      </cx:strDim>
      <cx:numDim type="val">
        <cx:f dir="row">_xlchart.v2.2</cx:f>
      </cx:numDim>
    </cx:data>
  </cx:chartData>
  <cx:chart>
    <cx:plotArea>
      <cx:plotAreaRegion>
        <cx:series layoutId="funnel" uniqueId="{9DBEA50B-CC8D-4588-8992-99A8911CA590}">
          <cx:tx>
            <cx:txData>
              <cx:f>_xlchart.v2.0</cx:f>
              <cx:v>Debt to Equity Ratio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hyperlink" Target="https://creativecommons.org/licenses/by-nc-nd/3.0/" TargetMode="External"/><Relationship Id="rId7" Type="http://schemas.openxmlformats.org/officeDocument/2006/relationships/chart" Target="../charts/chart4.xml"/><Relationship Id="rId2" Type="http://schemas.openxmlformats.org/officeDocument/2006/relationships/hyperlink" Target="https://escombrismo.blogspot.com/2012/01/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134471</xdr:colOff>
      <xdr:row>0</xdr:row>
      <xdr:rowOff>1</xdr:rowOff>
    </xdr:from>
    <xdr:to>
      <xdr:col>21</xdr:col>
      <xdr:colOff>19050</xdr:colOff>
      <xdr:row>26</xdr:row>
      <xdr:rowOff>164354</xdr:rowOff>
    </xdr:to>
    <xdr:sp macro="" textlink="">
      <xdr:nvSpPr>
        <xdr:cNvPr id="41" name="Rectangle 23">
          <a:extLst>
            <a:ext uri="{FF2B5EF4-FFF2-40B4-BE49-F238E27FC236}">
              <a16:creationId xmlns:a16="http://schemas.microsoft.com/office/drawing/2014/main" id="{25F58173-A2A9-AE0E-4AC1-695D96F5A4B9}"/>
            </a:ext>
            <a:ext uri="{147F2762-F138-4A5C-976F-8EAC2B608ADB}">
              <a16:predDERef xmlns:a16="http://schemas.microsoft.com/office/drawing/2014/main" pred="{D4FF3AD8-C842-E4D2-BC51-47240A05EE09}"/>
            </a:ext>
          </a:extLst>
        </xdr:cNvPr>
        <xdr:cNvSpPr/>
      </xdr:nvSpPr>
      <xdr:spPr>
        <a:xfrm>
          <a:off x="134471" y="1"/>
          <a:ext cx="12748932" cy="4826000"/>
        </a:xfrm>
        <a:prstGeom prst="rect">
          <a:avLst/>
        </a:prstGeom>
        <a:solidFill>
          <a:srgbClr val="2222BA">
            <a:alpha val="9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276225</xdr:colOff>
      <xdr:row>1</xdr:row>
      <xdr:rowOff>9525</xdr:rowOff>
    </xdr:from>
    <xdr:to>
      <xdr:col>20</xdr:col>
      <xdr:colOff>457200</xdr:colOff>
      <xdr:row>4</xdr:row>
      <xdr:rowOff>114300</xdr:rowOff>
    </xdr:to>
    <xdr:sp macro="" textlink="">
      <xdr:nvSpPr>
        <xdr:cNvPr id="31" name="Rectangle 27">
          <a:extLst>
            <a:ext uri="{FF2B5EF4-FFF2-40B4-BE49-F238E27FC236}">
              <a16:creationId xmlns:a16="http://schemas.microsoft.com/office/drawing/2014/main" id="{B415FB28-95AF-1D66-40D2-17793E30A6C8}"/>
            </a:ext>
            <a:ext uri="{147F2762-F138-4A5C-976F-8EAC2B608ADB}">
              <a16:predDERef xmlns:a16="http://schemas.microsoft.com/office/drawing/2014/main" pred="{A749E180-974C-3FDB-284C-2841AD349384}"/>
            </a:ext>
          </a:extLst>
        </xdr:cNvPr>
        <xdr:cNvSpPr/>
      </xdr:nvSpPr>
      <xdr:spPr>
        <a:xfrm>
          <a:off x="276225" y="192405"/>
          <a:ext cx="12372975" cy="653415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Hinustan</a:t>
          </a:r>
        </a:p>
      </xdr:txBody>
    </xdr:sp>
    <xdr:clientData/>
  </xdr:twoCellAnchor>
  <xdr:twoCellAnchor editAs="oneCell">
    <xdr:from>
      <xdr:col>0</xdr:col>
      <xdr:colOff>371475</xdr:colOff>
      <xdr:row>1</xdr:row>
      <xdr:rowOff>80010</xdr:rowOff>
    </xdr:from>
    <xdr:to>
      <xdr:col>1</xdr:col>
      <xdr:colOff>304800</xdr:colOff>
      <xdr:row>4</xdr:row>
      <xdr:rowOff>93345</xdr:rowOff>
    </xdr:to>
    <xdr:pic>
      <xdr:nvPicPr>
        <xdr:cNvPr id="34" name="Picture 28">
          <a:extLst>
            <a:ext uri="{FF2B5EF4-FFF2-40B4-BE49-F238E27FC236}">
              <a16:creationId xmlns:a16="http://schemas.microsoft.com/office/drawing/2014/main" id="{6FC5AF71-94D2-588D-882E-CB9E1B13B2E0}"/>
            </a:ext>
            <a:ext uri="{147F2762-F138-4A5C-976F-8EAC2B608ADB}">
              <a16:predDERef xmlns:a16="http://schemas.microsoft.com/office/drawing/2014/main" pred="{B415FB28-95AF-1D66-40D2-17793E30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62890"/>
          <a:ext cx="542925" cy="561975"/>
        </a:xfrm>
        <a:prstGeom prst="rect">
          <a:avLst/>
        </a:prstGeom>
      </xdr:spPr>
    </xdr:pic>
    <xdr:clientData/>
  </xdr:twoCellAnchor>
  <xdr:twoCellAnchor editAs="oneCell">
    <xdr:from>
      <xdr:col>19</xdr:col>
      <xdr:colOff>428625</xdr:colOff>
      <xdr:row>1</xdr:row>
      <xdr:rowOff>47625</xdr:rowOff>
    </xdr:from>
    <xdr:to>
      <xdr:col>20</xdr:col>
      <xdr:colOff>361950</xdr:colOff>
      <xdr:row>4</xdr:row>
      <xdr:rowOff>60960</xdr:rowOff>
    </xdr:to>
    <xdr:pic>
      <xdr:nvPicPr>
        <xdr:cNvPr id="40" name="Picture 29">
          <a:extLst>
            <a:ext uri="{FF2B5EF4-FFF2-40B4-BE49-F238E27FC236}">
              <a16:creationId xmlns:a16="http://schemas.microsoft.com/office/drawing/2014/main" id="{18FE420E-FFE7-4297-A87D-45D7568DF11B}"/>
            </a:ext>
            <a:ext uri="{147F2762-F138-4A5C-976F-8EAC2B608ADB}">
              <a16:predDERef xmlns:a16="http://schemas.microsoft.com/office/drawing/2014/main" pred="{6FC5AF71-94D2-588D-882E-CB9E1B13B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1025" y="238125"/>
          <a:ext cx="542925" cy="561975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58</xdr:row>
      <xdr:rowOff>64070</xdr:rowOff>
    </xdr:from>
    <xdr:ext cx="7772400" cy="233205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741228A3-02DF-6B4C-043C-77790241C605}"/>
            </a:ext>
          </a:extLst>
        </xdr:cNvPr>
        <xdr:cNvSpPr txBox="1"/>
      </xdr:nvSpPr>
      <xdr:spPr>
        <a:xfrm>
          <a:off x="7315200" y="1067111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>
              <a:hlinkClick xmlns:r="http://schemas.openxmlformats.org/officeDocument/2006/relationships" r:id="rId2" tooltip="https://escombrismo.blogspot.com/2012/01/"/>
            </a:rPr>
            <a:t>This Photo</a:t>
          </a:r>
          <a:r>
            <a:rPr lang="en-IN" sz="900"/>
            <a:t> by Unknown Author is licensed under </a:t>
          </a:r>
          <a:r>
            <a:rPr lang="en-IN" sz="900">
              <a:hlinkClick xmlns:r="http://schemas.openxmlformats.org/officeDocument/2006/relationships" r:id="rId3" tooltip="https://creativecommons.org/licenses/by-nc-nd/3.0/"/>
            </a:rPr>
            <a:t>CC BY-NC-ND</a:t>
          </a:r>
          <a:endParaRPr lang="en-IN" sz="900"/>
        </a:p>
      </xdr:txBody>
    </xdr:sp>
    <xdr:clientData/>
  </xdr:oneCellAnchor>
  <xdr:twoCellAnchor>
    <xdr:from>
      <xdr:col>14</xdr:col>
      <xdr:colOff>584835</xdr:colOff>
      <xdr:row>15</xdr:row>
      <xdr:rowOff>149412</xdr:rowOff>
    </xdr:from>
    <xdr:to>
      <xdr:col>20</xdr:col>
      <xdr:colOff>487680</xdr:colOff>
      <xdr:row>26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8330FAB-FFE0-46F1-BCC0-988C12FD23F1}"/>
            </a:ext>
            <a:ext uri="{147F2762-F138-4A5C-976F-8EAC2B608ADB}">
              <a16:predDERef xmlns:a16="http://schemas.microsoft.com/office/drawing/2014/main" pred="{741228A3-02DF-6B4C-043C-77790241C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487680</xdr:colOff>
      <xdr:row>1</xdr:row>
      <xdr:rowOff>99060</xdr:rowOff>
    </xdr:from>
    <xdr:ext cx="10728960" cy="49936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39DBF76-6FA3-019E-DA24-E9BCF4B1AB5B}"/>
            </a:ext>
          </a:extLst>
        </xdr:cNvPr>
        <xdr:cNvSpPr txBox="1"/>
      </xdr:nvSpPr>
      <xdr:spPr>
        <a:xfrm>
          <a:off x="1097280" y="281940"/>
          <a:ext cx="10728960" cy="499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600"/>
            <a:t>Hinustan Unilever Financial Performance Insights</a:t>
          </a:r>
          <a:r>
            <a:rPr lang="en-IN" sz="2600" baseline="0"/>
            <a:t> Dashboard | FY 2023–2026</a:t>
          </a:r>
          <a:endParaRPr lang="en-IN" sz="2600"/>
        </a:p>
      </xdr:txBody>
    </xdr:sp>
    <xdr:clientData/>
  </xdr:oneCellAnchor>
  <xdr:twoCellAnchor>
    <xdr:from>
      <xdr:col>14</xdr:col>
      <xdr:colOff>577215</xdr:colOff>
      <xdr:row>5</xdr:row>
      <xdr:rowOff>30481</xdr:rowOff>
    </xdr:from>
    <xdr:to>
      <xdr:col>20</xdr:col>
      <xdr:colOff>464820</xdr:colOff>
      <xdr:row>14</xdr:row>
      <xdr:rowOff>171824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37F8353-D5C7-4F1A-9D1E-3CA09335ED16}"/>
            </a:ext>
            <a:ext uri="{147F2762-F138-4A5C-976F-8EAC2B608ADB}">
              <a16:predDERef xmlns:a16="http://schemas.microsoft.com/office/drawing/2014/main" pred="{139DBF76-6FA3-019E-DA24-E9BCF4B1A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</xdr:row>
      <xdr:rowOff>22860</xdr:rowOff>
    </xdr:from>
    <xdr:to>
      <xdr:col>14</xdr:col>
      <xdr:colOff>358140</xdr:colOff>
      <xdr:row>14</xdr:row>
      <xdr:rowOff>175260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7A0994B-E9C1-76EC-21F9-47B67F18168D}"/>
            </a:ext>
          </a:extLst>
        </xdr:cNvPr>
        <xdr:cNvSpPr/>
      </xdr:nvSpPr>
      <xdr:spPr>
        <a:xfrm>
          <a:off x="6096000" y="937260"/>
          <a:ext cx="2796540" cy="17983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Debt to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Equity Ratio</a:t>
          </a:r>
          <a:endParaRPr lang="en-IN">
            <a:effectLst/>
          </a:endParaRPr>
        </a:p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198120</xdr:colOff>
      <xdr:row>5</xdr:row>
      <xdr:rowOff>30480</xdr:rowOff>
    </xdr:from>
    <xdr:to>
      <xdr:col>9</xdr:col>
      <xdr:colOff>525780</xdr:colOff>
      <xdr:row>14</xdr:row>
      <xdr:rowOff>175260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DF878F3-7260-2977-5CED-54A68B981850}"/>
            </a:ext>
          </a:extLst>
        </xdr:cNvPr>
        <xdr:cNvSpPr/>
      </xdr:nvSpPr>
      <xdr:spPr>
        <a:xfrm>
          <a:off x="3246120" y="944880"/>
          <a:ext cx="2766060" cy="1790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281940</xdr:colOff>
      <xdr:row>5</xdr:row>
      <xdr:rowOff>30480</xdr:rowOff>
    </xdr:from>
    <xdr:to>
      <xdr:col>5</xdr:col>
      <xdr:colOff>114300</xdr:colOff>
      <xdr:row>14</xdr:row>
      <xdr:rowOff>175260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A5104B2-2089-CF5B-39F1-AB89C219D2C4}"/>
            </a:ext>
          </a:extLst>
        </xdr:cNvPr>
        <xdr:cNvSpPr/>
      </xdr:nvSpPr>
      <xdr:spPr>
        <a:xfrm>
          <a:off x="281940" y="944880"/>
          <a:ext cx="2880360" cy="1790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solidFill>
                <a:schemeClr val="tx1"/>
              </a:solidFill>
            </a:rPr>
            <a:t>Current</a:t>
          </a:r>
          <a:r>
            <a:rPr lang="en-IN" sz="1400" baseline="0">
              <a:solidFill>
                <a:schemeClr val="tx1"/>
              </a:solidFill>
            </a:rPr>
            <a:t> Ratio</a:t>
          </a:r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472440</xdr:colOff>
      <xdr:row>7</xdr:row>
      <xdr:rowOff>0</xdr:rowOff>
    </xdr:from>
    <xdr:to>
      <xdr:col>4</xdr:col>
      <xdr:colOff>533400</xdr:colOff>
      <xdr:row>14</xdr:row>
      <xdr:rowOff>45720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681EEC5-3D40-4BD8-84A5-966652F27289}"/>
            </a:ext>
            <a:ext uri="{147F2762-F138-4A5C-976F-8EAC2B608ADB}">
              <a16:predDERef xmlns:a16="http://schemas.microsoft.com/office/drawing/2014/main" pred="{FA5104B2-2089-CF5B-39F1-AB89C219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289560</xdr:colOff>
      <xdr:row>6</xdr:row>
      <xdr:rowOff>167640</xdr:rowOff>
    </xdr:from>
    <xdr:to>
      <xdr:col>9</xdr:col>
      <xdr:colOff>464820</xdr:colOff>
      <xdr:row>14</xdr:row>
      <xdr:rowOff>83820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E502E6B8-505A-440A-B09E-9D5D0780C207}"/>
            </a:ext>
            <a:ext uri="{147F2762-F138-4A5C-976F-8EAC2B608ADB}">
              <a16:predDERef xmlns:a16="http://schemas.microsoft.com/office/drawing/2014/main" pred="{C681EEC5-3D40-4BD8-84A5-966652F27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53340</xdr:colOff>
      <xdr:row>6</xdr:row>
      <xdr:rowOff>160020</xdr:rowOff>
    </xdr:from>
    <xdr:to>
      <xdr:col>14</xdr:col>
      <xdr:colOff>304800</xdr:colOff>
      <xdr:row>14</xdr:row>
      <xdr:rowOff>83820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AC377678-33FC-4E30-B150-D0612E18E19C}"/>
                </a:ext>
                <a:ext uri="{147F2762-F138-4A5C-976F-8EAC2B608ADB}">
                  <a16:predDERef xmlns:a16="http://schemas.microsoft.com/office/drawing/2014/main" pred="{E502E6B8-505A-440A-B09E-9D5D0780C2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5</xdr:col>
      <xdr:colOff>198120</xdr:colOff>
      <xdr:row>5</xdr:row>
      <xdr:rowOff>60960</xdr:rowOff>
    </xdr:from>
    <xdr:ext cx="2346960" cy="356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A98246-A978-1686-AD55-0220CC09E8CD}"/>
            </a:ext>
          </a:extLst>
        </xdr:cNvPr>
        <xdr:cNvSpPr txBox="1"/>
      </xdr:nvSpPr>
      <xdr:spPr>
        <a:xfrm>
          <a:off x="3246120" y="975360"/>
          <a:ext cx="2346960" cy="356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400"/>
            <a:t>Return</a:t>
          </a:r>
          <a:r>
            <a:rPr lang="en-IN" sz="1400" baseline="0"/>
            <a:t> on Equity Ratio</a:t>
          </a:r>
          <a:endParaRPr lang="en-IN" sz="1400"/>
        </a:p>
      </xdr:txBody>
    </xdr:sp>
    <xdr:clientData/>
  </xdr:oneCellAnchor>
  <xdr:oneCellAnchor>
    <xdr:from>
      <xdr:col>9</xdr:col>
      <xdr:colOff>571500</xdr:colOff>
      <xdr:row>5</xdr:row>
      <xdr:rowOff>38100</xdr:rowOff>
    </xdr:from>
    <xdr:ext cx="2903220" cy="48372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6110C2-402F-227D-AA48-825BF50A91A2}"/>
            </a:ext>
          </a:extLst>
        </xdr:cNvPr>
        <xdr:cNvSpPr txBox="1"/>
      </xdr:nvSpPr>
      <xdr:spPr>
        <a:xfrm>
          <a:off x="6057900" y="952500"/>
          <a:ext cx="2903220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Debt to</a:t>
          </a:r>
          <a:r>
            <a:rPr lang="en-IN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Equity Ratio</a:t>
          </a:r>
          <a:endParaRPr lang="en-IN" sz="1400">
            <a:effectLst/>
          </a:endParaRPr>
        </a:p>
        <a:p>
          <a:endParaRPr lang="en-IN" sz="1100"/>
        </a:p>
      </xdr:txBody>
    </xdr:sp>
    <xdr:clientData/>
  </xdr:oneCellAnchor>
  <xdr:twoCellAnchor>
    <xdr:from>
      <xdr:col>0</xdr:col>
      <xdr:colOff>289560</xdr:colOff>
      <xdr:row>15</xdr:row>
      <xdr:rowOff>137161</xdr:rowOff>
    </xdr:from>
    <xdr:to>
      <xdr:col>14</xdr:col>
      <xdr:colOff>403860</xdr:colOff>
      <xdr:row>26</xdr:row>
      <xdr:rowOff>7472</xdr:rowOff>
    </xdr:to>
    <xdr:sp macro="" textlink="">
      <xdr:nvSpPr>
        <xdr:cNvPr id="33" name="Rectangle 6">
          <a:extLst>
            <a:ext uri="{FF2B5EF4-FFF2-40B4-BE49-F238E27FC236}">
              <a16:creationId xmlns:a16="http://schemas.microsoft.com/office/drawing/2014/main" id="{DBA6E2AA-82D0-7B8B-F63E-030B58CF9B3C}"/>
            </a:ext>
            <a:ext uri="{147F2762-F138-4A5C-976F-8EAC2B608ADB}">
              <a16:predDERef xmlns:a16="http://schemas.microsoft.com/office/drawing/2014/main" pred="{A56110C2-402F-227D-AA48-825BF50A91A2}"/>
            </a:ext>
          </a:extLst>
        </xdr:cNvPr>
        <xdr:cNvSpPr/>
      </xdr:nvSpPr>
      <xdr:spPr>
        <a:xfrm>
          <a:off x="289560" y="2826573"/>
          <a:ext cx="8690535" cy="184254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Key Observations</a:t>
          </a:r>
        </a:p>
      </xdr:txBody>
    </xdr:sp>
    <xdr:clientData/>
  </xdr:twoCellAnchor>
  <xdr:oneCellAnchor>
    <xdr:from>
      <xdr:col>0</xdr:col>
      <xdr:colOff>295275</xdr:colOff>
      <xdr:row>17</xdr:row>
      <xdr:rowOff>76200</xdr:rowOff>
    </xdr:from>
    <xdr:ext cx="8422901" cy="1492624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2DAF648-F478-0084-06F0-7E26047FF6E7}"/>
            </a:ext>
            <a:ext uri="{147F2762-F138-4A5C-976F-8EAC2B608ADB}">
              <a16:predDERef xmlns:a16="http://schemas.microsoft.com/office/drawing/2014/main" pred="{DBA6E2AA-82D0-7B8B-F63E-030B58CF9B3C}"/>
            </a:ext>
          </a:extLst>
        </xdr:cNvPr>
        <xdr:cNvSpPr txBox="1"/>
      </xdr:nvSpPr>
      <xdr:spPr>
        <a:xfrm>
          <a:off x="295275" y="3124200"/>
          <a:ext cx="8422901" cy="1492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IN" sz="1100" b="1"/>
            <a:t>Revenue Recovery: </a:t>
          </a:r>
          <a:r>
            <a:rPr lang="en-IN" sz="1100" b="0"/>
            <a:t>Revenue</a:t>
          </a:r>
          <a:r>
            <a:rPr lang="en-IN" sz="1100" b="0" baseline="0"/>
            <a:t> growth returned to positive territory in current financial year (2025-26) after the previous year's slight decline.</a:t>
          </a:r>
        </a:p>
        <a:p>
          <a:pPr algn="l"/>
          <a:r>
            <a:rPr lang="en-IN" sz="1100" b="1" baseline="0"/>
            <a:t>Cash Conversion: </a:t>
          </a:r>
          <a:r>
            <a:rPr lang="en-IN" sz="1100" b="0" baseline="0"/>
            <a:t>Operating cash flow was lower than Profit after Tax in FY 2025-26, reasons could include factors such as working capital pressure </a:t>
          </a:r>
        </a:p>
        <a:p>
          <a:pPr algn="l"/>
          <a:r>
            <a:rPr lang="en-IN" sz="1100" b="0" baseline="0"/>
            <a:t>and difference in net tax paid.</a:t>
          </a:r>
        </a:p>
        <a:p>
          <a:pPr algn="l"/>
          <a:r>
            <a:rPr lang="en-IN" sz="1100" b="1" baseline="0"/>
            <a:t>Liquidity:</a:t>
          </a:r>
          <a:r>
            <a:rPr lang="en-IN" sz="1100" b="0" baseline="0"/>
            <a:t> The current year's current ratio is 1.22 indicating that the current assets exceed the amount of current liabilities in HUL.</a:t>
          </a:r>
        </a:p>
        <a:p>
          <a:pPr algn="l"/>
          <a:r>
            <a:rPr lang="en-IN" sz="1100" b="1" baseline="0"/>
            <a:t>Profitability Improved: </a:t>
          </a:r>
          <a:r>
            <a:rPr lang="en-IN" sz="1100" b="0" baseline="0"/>
            <a:t>Net profit margin rose from 17.40% in FY 2024–25 to 23.36% in FY 2025–26. This indicates a substantial improvement </a:t>
          </a:r>
        </a:p>
        <a:p>
          <a:pPr algn="l"/>
          <a:r>
            <a:rPr lang="en-IN" sz="1100" b="0" baseline="0"/>
            <a:t>in profit earned per rupee of revenue, subject to verification of the reported figures.</a:t>
          </a:r>
        </a:p>
        <a:p>
          <a:pPr algn="l"/>
          <a:r>
            <a:rPr lang="en-IN" sz="1100" b="1" baseline="0"/>
            <a:t>Borrowings remain low relative to equity</a:t>
          </a:r>
          <a:r>
            <a:rPr lang="en-IN" sz="1100" b="0" baseline="0"/>
            <a:t>: Borrowings were ₹1,104 crore against equity of ₹49,008 crore, giving a debt-to-equity ratio of</a:t>
          </a:r>
        </a:p>
        <a:p>
          <a:pPr algn="l"/>
          <a:r>
            <a:rPr lang="en-IN" sz="1100" b="0" baseline="0"/>
            <a:t>approximately 0.02. This suggests limited reliance on borrowings relative to equity, although leases and other liabilities should also be considered.</a:t>
          </a:r>
        </a:p>
        <a:p>
          <a:pPr algn="l"/>
          <a:endParaRPr lang="en-IN" sz="1100" b="0" baseline="0"/>
        </a:p>
        <a:p>
          <a:pPr algn="l"/>
          <a:endParaRPr lang="en-IN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7CA7-BF8D-487F-8280-8D07713C53E4}">
  <dimension ref="A1:H14"/>
  <sheetViews>
    <sheetView workbookViewId="0">
      <selection activeCell="L3" sqref="L3"/>
    </sheetView>
  </sheetViews>
  <sheetFormatPr defaultRowHeight="14.45"/>
  <cols>
    <col min="1" max="1" width="23.28515625" style="1" bestFit="1" customWidth="1"/>
    <col min="2" max="5" width="10.7109375" bestFit="1" customWidth="1"/>
    <col min="6" max="6" width="11.28515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s="1" t="s">
        <v>5</v>
      </c>
      <c r="B2" s="2">
        <v>64468</v>
      </c>
      <c r="C2" s="2">
        <v>61328</v>
      </c>
      <c r="D2" s="2">
        <v>61896</v>
      </c>
      <c r="E2" s="2">
        <v>60580</v>
      </c>
    </row>
    <row r="3" spans="1:8">
      <c r="A3" s="1" t="s">
        <v>6</v>
      </c>
      <c r="B3" s="2">
        <v>51157</v>
      </c>
      <c r="C3" s="2">
        <v>48256</v>
      </c>
      <c r="D3" s="2">
        <v>13926</v>
      </c>
      <c r="E3" s="2">
        <v>13344</v>
      </c>
    </row>
    <row r="4" spans="1:8">
      <c r="A4" s="1" t="s">
        <v>7</v>
      </c>
      <c r="B4" s="2">
        <v>15059</v>
      </c>
      <c r="C4" s="2">
        <v>10671</v>
      </c>
      <c r="D4" s="2">
        <v>10282</v>
      </c>
      <c r="E4" s="2">
        <v>10143</v>
      </c>
    </row>
    <row r="5" spans="1:8">
      <c r="A5" s="1" t="s">
        <v>8</v>
      </c>
      <c r="B5" s="2">
        <v>79752</v>
      </c>
      <c r="C5" s="2">
        <v>79880</v>
      </c>
      <c r="D5" s="2">
        <v>78499</v>
      </c>
      <c r="E5" s="2">
        <v>73087</v>
      </c>
    </row>
    <row r="6" spans="1:8">
      <c r="A6" s="1" t="s">
        <v>9</v>
      </c>
      <c r="B6" s="2">
        <v>49008</v>
      </c>
      <c r="C6" s="2">
        <v>49609</v>
      </c>
      <c r="D6" s="2">
        <v>51423</v>
      </c>
      <c r="E6" s="2">
        <v>50522</v>
      </c>
    </row>
    <row r="7" spans="1:8">
      <c r="A7" s="1" t="s">
        <v>10</v>
      </c>
      <c r="B7" s="2">
        <v>1104</v>
      </c>
      <c r="C7" s="2">
        <v>1243</v>
      </c>
      <c r="D7" s="2">
        <v>1106</v>
      </c>
      <c r="E7">
        <v>807</v>
      </c>
    </row>
    <row r="8" spans="1:8">
      <c r="A8" s="1" t="s">
        <v>11</v>
      </c>
      <c r="B8" s="2">
        <v>19021</v>
      </c>
      <c r="C8" s="2">
        <v>22051</v>
      </c>
      <c r="D8" s="2">
        <v>21324</v>
      </c>
      <c r="E8" s="2">
        <v>16998</v>
      </c>
    </row>
    <row r="9" spans="1:8">
      <c r="A9" s="1" t="s">
        <v>12</v>
      </c>
      <c r="B9" s="2">
        <v>15549</v>
      </c>
      <c r="C9" s="2">
        <v>16537</v>
      </c>
      <c r="D9" s="2">
        <v>12876</v>
      </c>
      <c r="E9" s="2">
        <v>12028</v>
      </c>
    </row>
    <row r="10" spans="1:8">
      <c r="A10" s="1" t="s">
        <v>13</v>
      </c>
      <c r="B10" s="2">
        <v>10999</v>
      </c>
      <c r="C10" s="2">
        <v>11886</v>
      </c>
      <c r="D10" s="2">
        <v>15469</v>
      </c>
      <c r="E10" s="2">
        <v>9991</v>
      </c>
    </row>
    <row r="14" spans="1:8">
      <c r="H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AACA-A5D3-434F-9EA3-704CCE57C356}">
  <dimension ref="A1:E7"/>
  <sheetViews>
    <sheetView workbookViewId="0">
      <selection activeCell="B10" sqref="B10"/>
    </sheetView>
  </sheetViews>
  <sheetFormatPr defaultRowHeight="14.45"/>
  <cols>
    <col min="1" max="1" width="16.7109375" style="1" bestFit="1" customWidth="1"/>
    <col min="2" max="5" width="13.7109375" bestFit="1" customWidth="1"/>
  </cols>
  <sheetData>
    <row r="1" spans="1:5" s="1" customFormat="1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16</v>
      </c>
      <c r="B2" s="3">
        <f>('Raw Data'!B2-'Raw Data'!C2)/'Raw Data'!C2*100</f>
        <v>5.1200104356900606</v>
      </c>
      <c r="C2" s="3">
        <f>('Raw Data'!C2-'Raw Data'!D2)/'Raw Data'!D2*100</f>
        <v>-0.91766834690448496</v>
      </c>
      <c r="D2" s="3">
        <f>('Raw Data'!D2-'Raw Data'!E2)/'Raw Data'!E2*100</f>
        <v>2.1723341036645758</v>
      </c>
      <c r="E2" s="3" t="s">
        <v>17</v>
      </c>
    </row>
    <row r="3" spans="1:5">
      <c r="A3" s="1" t="s">
        <v>18</v>
      </c>
      <c r="B3" s="3">
        <f>'Raw Data'!B4/'Raw Data'!B2*100</f>
        <v>23.358875721288079</v>
      </c>
      <c r="C3" s="3">
        <f>'Raw Data'!C4/'Raw Data'!C2*100</f>
        <v>17.399882598486823</v>
      </c>
      <c r="D3" s="3">
        <f>'Raw Data'!D4/'Raw Data'!D2*100</f>
        <v>16.611735814915342</v>
      </c>
      <c r="E3" s="3">
        <f>'Raw Data'!E4/'Raw Data'!E2*100</f>
        <v>16.743149554308353</v>
      </c>
    </row>
    <row r="4" spans="1:5">
      <c r="A4" s="1" t="s">
        <v>19</v>
      </c>
      <c r="B4" s="3">
        <f>'Raw Data'!B4/'Raw Data'!B6*100</f>
        <v>30.727636304276849</v>
      </c>
      <c r="C4" s="3">
        <f>'Raw Data'!C4/'Raw Data'!C6*100</f>
        <v>21.510209840956279</v>
      </c>
      <c r="D4" s="3">
        <f>'Raw Data'!D4/'Raw Data'!D6*100</f>
        <v>19.994943896699922</v>
      </c>
      <c r="E4" s="3">
        <f>'Raw Data'!E4/'Raw Data'!E6*100</f>
        <v>20.076402359368196</v>
      </c>
    </row>
    <row r="5" spans="1:5">
      <c r="A5" s="1" t="s">
        <v>20</v>
      </c>
      <c r="B5" s="3">
        <f>'Raw Data'!B7/'Raw Data'!B6</f>
        <v>2.2526934378060724E-2</v>
      </c>
      <c r="C5" s="3">
        <f>'Raw Data'!C7/'Raw Data'!C6</f>
        <v>2.5055937430708136E-2</v>
      </c>
      <c r="D5" s="3">
        <f>'Raw Data'!D7/'Raw Data'!D6</f>
        <v>2.150788557649301E-2</v>
      </c>
      <c r="E5" s="3">
        <f>'Raw Data'!E7/'Raw Data'!E6</f>
        <v>1.5973239380863782E-2</v>
      </c>
    </row>
    <row r="6" spans="1:5">
      <c r="A6" s="1" t="s">
        <v>21</v>
      </c>
      <c r="B6" s="3">
        <f>'Raw Data'!B8/'Raw Data'!B9</f>
        <v>1.2232941025146311</v>
      </c>
      <c r="C6" s="3">
        <f>'Raw Data'!C8/'Raw Data'!C9</f>
        <v>1.3334341174336337</v>
      </c>
      <c r="D6" s="3">
        <f>'Raw Data'!D8/'Raw Data'!D9</f>
        <v>1.6561043802423112</v>
      </c>
      <c r="E6" s="3">
        <f>'Raw Data'!E8/'Raw Data'!E9</f>
        <v>1.4132025274359827</v>
      </c>
    </row>
    <row r="7" spans="1:5">
      <c r="A7" s="1" t="s">
        <v>13</v>
      </c>
      <c r="B7" s="4">
        <f>'Raw Data'!B10/'Raw Data'!B4</f>
        <v>0.73039378444783853</v>
      </c>
      <c r="C7" s="4">
        <f>'Raw Data'!C10/'Raw Data'!C4</f>
        <v>1.1138599943772842</v>
      </c>
      <c r="D7" s="4">
        <f>'Raw Data'!D10/'Raw Data'!D4</f>
        <v>1.504473837774752</v>
      </c>
      <c r="E7" s="4">
        <f>'Raw Data'!E10/'Raw Data'!E4</f>
        <v>0.98501429557330178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3B25-8BE8-4603-877E-38B1F1376CD0}">
  <dimension ref="A1"/>
  <sheetViews>
    <sheetView showGridLines="0" zoomScale="102" zoomScaleNormal="100" workbookViewId="0">
      <selection activeCell="M28" sqref="M28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7AC5-295C-445D-9B32-F70C7ABF0591}">
  <dimension ref="A1:E6"/>
  <sheetViews>
    <sheetView tabSelected="1" workbookViewId="0">
      <selection activeCell="J3" sqref="J3"/>
    </sheetView>
  </sheetViews>
  <sheetFormatPr defaultRowHeight="15"/>
  <cols>
    <col min="1" max="1" width="14.42578125" customWidth="1"/>
    <col min="2" max="2" width="15.42578125" customWidth="1"/>
    <col min="3" max="3" width="17.140625" customWidth="1"/>
    <col min="4" max="4" width="19.5703125" customWidth="1"/>
  </cols>
  <sheetData>
    <row r="1" spans="1:5" s="1" customFormat="1">
      <c r="A1" s="6" t="s">
        <v>22</v>
      </c>
      <c r="B1" s="6" t="s">
        <v>23</v>
      </c>
      <c r="C1" s="6" t="s">
        <v>24</v>
      </c>
      <c r="D1" s="6" t="s">
        <v>25</v>
      </c>
    </row>
    <row r="2" spans="1:5" ht="43.5">
      <c r="A2" s="7" t="s">
        <v>16</v>
      </c>
      <c r="B2" s="7" t="s">
        <v>26</v>
      </c>
      <c r="C2" s="7" t="s">
        <v>27</v>
      </c>
      <c r="D2" s="7" t="s">
        <v>28</v>
      </c>
      <c r="E2" s="5"/>
    </row>
    <row r="3" spans="1:5" ht="43.5">
      <c r="A3" s="7" t="s">
        <v>29</v>
      </c>
      <c r="B3" s="7" t="s">
        <v>30</v>
      </c>
      <c r="C3" s="7" t="s">
        <v>31</v>
      </c>
      <c r="D3" s="7" t="s">
        <v>32</v>
      </c>
    </row>
    <row r="4" spans="1:5" ht="43.5">
      <c r="A4" s="7" t="s">
        <v>33</v>
      </c>
      <c r="B4" s="7" t="s">
        <v>34</v>
      </c>
      <c r="C4" s="7" t="s">
        <v>35</v>
      </c>
      <c r="D4" s="7" t="s">
        <v>36</v>
      </c>
    </row>
    <row r="5" spans="1:5" ht="43.5">
      <c r="A5" s="7" t="s">
        <v>37</v>
      </c>
      <c r="B5" s="7" t="s">
        <v>38</v>
      </c>
      <c r="C5" s="7" t="s">
        <v>39</v>
      </c>
      <c r="D5" s="7" t="s">
        <v>40</v>
      </c>
    </row>
    <row r="6" spans="1:5" ht="43.5">
      <c r="A6" s="7" t="s">
        <v>41</v>
      </c>
      <c r="B6" s="7" t="s">
        <v>42</v>
      </c>
      <c r="C6" s="7" t="s">
        <v>43</v>
      </c>
      <c r="D6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Revathi Sai A</dc:creator>
  <cp:keywords/>
  <dc:description/>
  <cp:lastModifiedBy/>
  <cp:revision/>
  <dcterms:created xsi:type="dcterms:W3CDTF">2026-10-12T09:42:12Z</dcterms:created>
  <dcterms:modified xsi:type="dcterms:W3CDTF">2026-10-12T14:53:28Z</dcterms:modified>
  <cp:category/>
  <cp:contentStatus/>
</cp:coreProperties>
</file>